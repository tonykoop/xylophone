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Xylopho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ySplit="11" topLeftCell="A12" activePane="bottomLeft" state="frozen"/>
      <selection pane="bottomLeft" activeCell="T5" sqref="T5"/>
    </sheetView>
  </sheetViews>
  <sheetFormatPr baseColWidth="8" defaultRowHeight="12.75"/>
  <cols>
    <col width="137.140625" customWidth="1" style="817" min="1" max="1"/>
    <col width="20.28515625" customWidth="1" style="817" min="2" max="2"/>
    <col width="5.7109375" customWidth="1" style="817" min="3" max="3"/>
    <col width="9.140625" bestFit="1" customWidth="1" style="817" min="4" max="4"/>
    <col width="7.28515625" bestFit="1" customWidth="1" style="817" min="5" max="6"/>
    <col width="6.28515625" bestFit="1" customWidth="1" style="817" min="7" max="7"/>
    <col width="5.7109375" bestFit="1" customWidth="1" style="817" min="8" max="9"/>
    <col width="5.5703125" bestFit="1" customWidth="1" style="817" min="10" max="11"/>
    <col width="26.5703125" bestFit="1" customWidth="1" style="817" min="15" max="15"/>
    <col width="21" bestFit="1" customWidth="1" style="817" min="16" max="17"/>
  </cols>
  <sheetData>
    <row r="1" ht="18" customHeight="1" s="817">
      <c r="A1" s="470" t="inlineStr">
        <is>
          <t>Xylophone — CNC Bar Design Table</t>
        </is>
      </c>
    </row>
    <row r="2">
      <c r="A2" s="537" t="inlineStr">
        <is>
          <t>Free-Free Beam (no arch) · f = K × t / L² · 3rd Harmonic Tuning · λ₁ = 4.730</t>
        </is>
      </c>
    </row>
    <row r="4" ht="15" customHeight="1" s="817">
      <c r="A4" s="602" t="inlineStr">
        <is>
          <t>DESIGN INPUTS</t>
        </is>
      </c>
    </row>
    <row r="5">
      <c r="A5" s="472" t="inlineStr">
        <is>
          <t>Material</t>
        </is>
      </c>
      <c r="B5" s="564" t="inlineStr">
        <is>
          <t>Padauk</t>
        </is>
      </c>
      <c r="C5" s="598" t="inlineStr">
        <is>
          <t>← Match to Marimba material library</t>
        </is>
      </c>
    </row>
    <row r="6">
      <c r="A6" s="472" t="inlineStr">
        <is>
          <t>K Constant (free-free)</t>
        </is>
      </c>
      <c r="B6" s="662" t="n">
        <v>155502</v>
      </c>
      <c r="C6" s="598" t="inlineStr">
        <is>
          <t>← From Marimba sheet or = 6.36 × Tongue Drum K</t>
        </is>
      </c>
    </row>
    <row r="7">
      <c r="A7" s="472" t="inlineStr">
        <is>
          <t>Bar Thickness (in)</t>
        </is>
      </c>
      <c r="B7" s="596" t="n">
        <v>0.75</v>
      </c>
      <c r="C7" s="598" t="inlineStr">
        <is>
          <t>← 3/4" concert, 5/8" student</t>
        </is>
      </c>
    </row>
    <row r="8">
      <c r="A8" s="472" t="inlineStr">
        <is>
          <t>Resonator Bore (in)</t>
        </is>
      </c>
      <c r="B8" s="596" t="n">
        <v>1.25</v>
      </c>
      <c r="C8" s="598" t="inlineStr">
        <is>
          <t>← PVC Schedule 20 ID</t>
        </is>
      </c>
    </row>
    <row r="10" ht="15" customHeight="1" s="817">
      <c r="A10" s="603" t="inlineStr">
        <is>
          <t>BAR SCHEDULE — 44 Chromatic Bars (F4–C8)</t>
        </is>
      </c>
    </row>
    <row r="11" ht="39" customFormat="1" customHeight="1" s="672">
      <c r="A11" s="670" t="inlineStr">
        <is>
          <t>#</t>
        </is>
      </c>
      <c r="B11" s="670" t="inlineStr">
        <is>
          <t>Note</t>
        </is>
      </c>
      <c r="C11" s="671" t="inlineStr">
        <is>
          <t>MIDI</t>
        </is>
      </c>
      <c r="D11" s="670" t="inlineStr">
        <is>
          <t>Freq (Hz)</t>
        </is>
      </c>
      <c r="E11" s="670" t="inlineStr">
        <is>
          <t>Bar Length (in)</t>
        </is>
      </c>
      <c r="F11" s="670" t="inlineStr">
        <is>
          <t>Bar Length (mm)</t>
        </is>
      </c>
      <c r="G11" s="670" t="inlineStr">
        <is>
          <t>Bar Width (in)</t>
        </is>
      </c>
      <c r="H11" s="670" t="inlineStr">
        <is>
          <t>Node 1 (in)</t>
        </is>
      </c>
      <c r="I11" s="670" t="inlineStr">
        <is>
          <t>Node 2 (in)</t>
        </is>
      </c>
      <c r="J11" s="670" t="inlineStr">
        <is>
          <t>Res. Tube (in)</t>
        </is>
      </c>
      <c r="K11" s="670" t="inlineStr">
        <is>
          <t>Res. Tube (mm)</t>
        </is>
      </c>
      <c r="O11" s="615" t="inlineStr">
        <is>
          <t>BUILD SPECIFICATIONS</t>
        </is>
      </c>
    </row>
    <row r="12">
      <c r="A12" t="n">
        <v>1</v>
      </c>
      <c r="B12" t="inlineStr">
        <is>
          <t>F4</t>
        </is>
      </c>
      <c r="C12" t="n">
        <v>65</v>
      </c>
      <c r="D12" s="481">
        <f>440*2^((C12-69)/12)</f>
        <v/>
      </c>
      <c r="E12" s="469">
        <f>SQRT($B$6*$B$7/D12)</f>
        <v/>
      </c>
      <c r="F12" s="481">
        <f>E12*25.4</f>
        <v/>
      </c>
      <c r="G12" s="469">
        <f>1+0.5*(108-C12)/(108-65)</f>
        <v/>
      </c>
      <c r="H12" s="469">
        <f>E12*0.224</f>
        <v/>
      </c>
      <c r="I12" s="469">
        <f>E12*0.776</f>
        <v/>
      </c>
      <c r="J12" s="469">
        <f>IF(13552/(4*D12)-0.82*$B$8&gt;0.5, 13552/(4*D12)-0.82*$B$8, "none")</f>
        <v/>
      </c>
      <c r="K12" s="481">
        <f>IF(J12="none","none",J12*25.4)</f>
        <v/>
      </c>
      <c r="O12" s="472" t="n"/>
      <c r="P12" s="472" t="inlineStr">
        <is>
          <t>Concert (3.5 oct)</t>
        </is>
      </c>
      <c r="Q12" s="472" t="inlineStr">
        <is>
          <t>Student (2.5 oct)</t>
        </is>
      </c>
    </row>
    <row r="13">
      <c r="A13" t="n">
        <v>2</v>
      </c>
      <c r="B13" t="inlineStr">
        <is>
          <t>F#4</t>
        </is>
      </c>
      <c r="C13" t="n">
        <v>66</v>
      </c>
      <c r="D13" s="481">
        <f>440*2^((C13-69)/12)</f>
        <v/>
      </c>
      <c r="E13" s="469">
        <f>SQRT($B$6*$B$7/D13)</f>
        <v/>
      </c>
      <c r="F13" s="481">
        <f>E13*25.4</f>
        <v/>
      </c>
      <c r="G13" s="469">
        <f>1+0.5*(108-C13)/(108-65)</f>
        <v/>
      </c>
      <c r="H13" s="469">
        <f>E13*0.224</f>
        <v/>
      </c>
      <c r="I13" s="469">
        <f>E13*0.776</f>
        <v/>
      </c>
      <c r="J13" s="469">
        <f>IF(13552/(4*D13)-0.82*$B$8&gt;0.5, 13552/(4*D13)-0.82*$B$8, "none")</f>
        <v/>
      </c>
      <c r="K13" s="481">
        <f>IF(J13="none","none",J13*25.4)</f>
        <v/>
      </c>
      <c r="O13" s="472" t="inlineStr">
        <is>
          <t>Range</t>
        </is>
      </c>
      <c r="P13" t="inlineStr">
        <is>
          <t>F4–C8 (44 bars)</t>
        </is>
      </c>
      <c r="Q13" t="inlineStr">
        <is>
          <t>F4–C7 (32 bars)</t>
        </is>
      </c>
    </row>
    <row r="14">
      <c r="A14" t="n">
        <v>3</v>
      </c>
      <c r="B14" t="inlineStr">
        <is>
          <t>G4</t>
        </is>
      </c>
      <c r="C14" t="n">
        <v>67</v>
      </c>
      <c r="D14" s="481">
        <f>440*2^((C14-69)/12)</f>
        <v/>
      </c>
      <c r="E14" s="469">
        <f>SQRT($B$6*$B$7/D14)</f>
        <v/>
      </c>
      <c r="F14" s="481">
        <f>E14*25.4</f>
        <v/>
      </c>
      <c r="G14" s="469">
        <f>1+0.5*(108-C14)/(108-65)</f>
        <v/>
      </c>
      <c r="H14" s="469">
        <f>E14*0.224</f>
        <v/>
      </c>
      <c r="I14" s="469">
        <f>E14*0.776</f>
        <v/>
      </c>
      <c r="J14" s="469">
        <f>IF(13552/(4*D14)-0.82*$B$8&gt;0.5, 13552/(4*D14)-0.82*$B$8, "none")</f>
        <v/>
      </c>
      <c r="K14" s="481">
        <f>IF(J14="none","none",J14*25.4)</f>
        <v/>
      </c>
      <c r="O14" s="472" t="inlineStr">
        <is>
          <t>Bar Material</t>
        </is>
      </c>
      <c r="P14" t="inlineStr">
        <is>
          <t>Rosewood / Padauk</t>
        </is>
      </c>
      <c r="Q14" t="inlineStr">
        <is>
          <t>Padauk / Hard Maple</t>
        </is>
      </c>
    </row>
    <row r="15">
      <c r="A15" t="n">
        <v>4</v>
      </c>
      <c r="B15" t="inlineStr">
        <is>
          <t>G#4</t>
        </is>
      </c>
      <c r="C15" t="n">
        <v>68</v>
      </c>
      <c r="D15" s="481">
        <f>440*2^((C15-69)/12)</f>
        <v/>
      </c>
      <c r="E15" s="469">
        <f>SQRT($B$6*$B$7/D15)</f>
        <v/>
      </c>
      <c r="F15" s="481">
        <f>E15*25.4</f>
        <v/>
      </c>
      <c r="G15" s="469">
        <f>1+0.5*(108-C15)/(108-65)</f>
        <v/>
      </c>
      <c r="H15" s="469">
        <f>E15*0.224</f>
        <v/>
      </c>
      <c r="I15" s="469">
        <f>E15*0.776</f>
        <v/>
      </c>
      <c r="J15" s="469">
        <f>IF(13552/(4*D15)-0.82*$B$8&gt;0.5, 13552/(4*D15)-0.82*$B$8, "none")</f>
        <v/>
      </c>
      <c r="K15" s="481">
        <f>IF(J15="none","none",J15*25.4)</f>
        <v/>
      </c>
      <c r="O15" s="472" t="inlineStr">
        <is>
          <t>Bar Thickness</t>
        </is>
      </c>
      <c r="P15" t="inlineStr">
        <is>
          <t>3/4" (0.750")</t>
        </is>
      </c>
      <c r="Q15" t="inlineStr">
        <is>
          <t>5/8" (0.625")</t>
        </is>
      </c>
    </row>
    <row r="16">
      <c r="A16" s="551" t="n">
        <v>5</v>
      </c>
      <c r="B16" s="551" t="inlineStr">
        <is>
          <t>A4</t>
        </is>
      </c>
      <c r="C16" s="551" t="n">
        <v>69</v>
      </c>
      <c r="D16" s="666">
        <f>440*2^((C16-69)/12)</f>
        <v/>
      </c>
      <c r="E16" s="665">
        <f>SQRT($B$6*$B$7/D16)</f>
        <v/>
      </c>
      <c r="F16" s="666">
        <f>E16*25.4</f>
        <v/>
      </c>
      <c r="G16" s="665">
        <f>1+0.5*(108-C16)/(108-65)</f>
        <v/>
      </c>
      <c r="H16" s="665">
        <f>E16*0.224</f>
        <v/>
      </c>
      <c r="I16" s="665">
        <f>E16*0.776</f>
        <v/>
      </c>
      <c r="J16" s="665">
        <f>IF(13552/(4*D16)-0.82*$B$8&gt;0.5, 13552/(4*D16)-0.82*$B$8, "none")</f>
        <v/>
      </c>
      <c r="K16" s="666">
        <f>IF(J16="none","none",J16*25.4)</f>
        <v/>
      </c>
      <c r="O16" s="472" t="inlineStr">
        <is>
          <t>Bar Width Range</t>
        </is>
      </c>
      <c r="P16" t="inlineStr">
        <is>
          <t>1.0"–1.5"</t>
        </is>
      </c>
      <c r="Q16" t="inlineStr">
        <is>
          <t>1.0"–1.375"</t>
        </is>
      </c>
    </row>
    <row r="17">
      <c r="A17" t="n">
        <v>6</v>
      </c>
      <c r="B17" t="inlineStr">
        <is>
          <t>A#4</t>
        </is>
      </c>
      <c r="C17" t="n">
        <v>70</v>
      </c>
      <c r="D17" s="481">
        <f>440*2^((C17-69)/12)</f>
        <v/>
      </c>
      <c r="E17" s="469">
        <f>SQRT($B$6*$B$7/D17)</f>
        <v/>
      </c>
      <c r="F17" s="481">
        <f>E17*25.4</f>
        <v/>
      </c>
      <c r="G17" s="469">
        <f>1+0.5*(108-C17)/(108-65)</f>
        <v/>
      </c>
      <c r="H17" s="469">
        <f>E17*0.224</f>
        <v/>
      </c>
      <c r="I17" s="469">
        <f>E17*0.776</f>
        <v/>
      </c>
      <c r="J17" s="469">
        <f>IF(13552/(4*D17)-0.82*$B$8&gt;0.5, 13552/(4*D17)-0.82*$B$8, "none")</f>
        <v/>
      </c>
      <c r="K17" s="481">
        <f>IF(J17="none","none",J17*25.4)</f>
        <v/>
      </c>
      <c r="O17" s="472" t="inlineStr">
        <is>
          <t>Resonator Material</t>
        </is>
      </c>
      <c r="P17" t="inlineStr">
        <is>
          <t>1-1/4" PVC Sch 20</t>
        </is>
      </c>
      <c r="Q17" t="inlineStr">
        <is>
          <t>1" PVC Sch 20</t>
        </is>
      </c>
    </row>
    <row r="18">
      <c r="A18" t="n">
        <v>7</v>
      </c>
      <c r="B18" t="inlineStr">
        <is>
          <t>B4</t>
        </is>
      </c>
      <c r="C18" t="n">
        <v>71</v>
      </c>
      <c r="D18" s="481">
        <f>440*2^((C18-69)/12)</f>
        <v/>
      </c>
      <c r="E18" s="469">
        <f>SQRT($B$6*$B$7/D18)</f>
        <v/>
      </c>
      <c r="F18" s="481">
        <f>E18*25.4</f>
        <v/>
      </c>
      <c r="G18" s="469">
        <f>1+0.5*(108-C18)/(108-65)</f>
        <v/>
      </c>
      <c r="H18" s="469">
        <f>E18*0.224</f>
        <v/>
      </c>
      <c r="I18" s="469">
        <f>E18*0.776</f>
        <v/>
      </c>
      <c r="J18" s="469">
        <f>IF(13552/(4*D18)-0.82*$B$8&gt;0.5, 13552/(4*D18)-0.82*$B$8, "none")</f>
        <v/>
      </c>
      <c r="K18" s="481">
        <f>IF(J18="none","none",J18*25.4)</f>
        <v/>
      </c>
      <c r="O18" s="472" t="inlineStr">
        <is>
          <t>Resonators</t>
        </is>
      </c>
      <c r="P18" t="inlineStr">
        <is>
          <t>37 tubes (F4–C7)</t>
        </is>
      </c>
      <c r="Q18" t="inlineStr">
        <is>
          <t>32 tubes (all)</t>
        </is>
      </c>
    </row>
    <row r="19">
      <c r="A19" t="n">
        <v>8</v>
      </c>
      <c r="B19" s="472" t="inlineStr">
        <is>
          <t>C5</t>
        </is>
      </c>
      <c r="C19" t="n">
        <v>72</v>
      </c>
      <c r="D19" s="481">
        <f>440*2^((C19-69)/12)</f>
        <v/>
      </c>
      <c r="E19" s="469">
        <f>SQRT($B$6*$B$7/D19)</f>
        <v/>
      </c>
      <c r="F19" s="481">
        <f>E19*25.4</f>
        <v/>
      </c>
      <c r="G19" s="469">
        <f>1+0.5*(108-C19)/(108-65)</f>
        <v/>
      </c>
      <c r="H19" s="469">
        <f>E19*0.224</f>
        <v/>
      </c>
      <c r="I19" s="469">
        <f>E19*0.776</f>
        <v/>
      </c>
      <c r="J19" s="469">
        <f>IF(13552/(4*D19)-0.82*$B$8&gt;0.5, 13552/(4*D19)-0.82*$B$8, "none")</f>
        <v/>
      </c>
      <c r="K19" s="481">
        <f>IF(J19="none","none",J19*25.4)</f>
        <v/>
      </c>
      <c r="O19" s="472" t="inlineStr">
        <is>
          <t>Frame Size</t>
        </is>
      </c>
      <c r="P19" t="inlineStr">
        <is>
          <t>48" × 24" × 30"h</t>
        </is>
      </c>
      <c r="Q19" t="inlineStr">
        <is>
          <t>36" × 20" × 28"h</t>
        </is>
      </c>
    </row>
    <row r="20">
      <c r="A20" t="n">
        <v>9</v>
      </c>
      <c r="B20" t="inlineStr">
        <is>
          <t>C#5</t>
        </is>
      </c>
      <c r="C20" t="n">
        <v>73</v>
      </c>
      <c r="D20" s="481">
        <f>440*2^((C20-69)/12)</f>
        <v/>
      </c>
      <c r="E20" s="469">
        <f>SQRT($B$6*$B$7/D20)</f>
        <v/>
      </c>
      <c r="F20" s="481">
        <f>E20*25.4</f>
        <v/>
      </c>
      <c r="G20" s="469">
        <f>1+0.5*(108-C20)/(108-65)</f>
        <v/>
      </c>
      <c r="H20" s="469">
        <f>E20*0.224</f>
        <v/>
      </c>
      <c r="I20" s="469">
        <f>E20*0.776</f>
        <v/>
      </c>
      <c r="J20" s="469">
        <f>IF(13552/(4*D20)-0.82*$B$8&gt;0.5, 13552/(4*D20)-0.82*$B$8, "none")</f>
        <v/>
      </c>
      <c r="K20" s="481">
        <f>IF(J20="none","none",J20*25.4)</f>
        <v/>
      </c>
      <c r="O20" s="472" t="inlineStr">
        <is>
          <t>Rail Material</t>
        </is>
      </c>
      <c r="P20" t="inlineStr">
        <is>
          <t>Maple or aluminum</t>
        </is>
      </c>
      <c r="Q20" t="inlineStr">
        <is>
          <t>Pine or maple</t>
        </is>
      </c>
    </row>
    <row r="21">
      <c r="A21" t="n">
        <v>10</v>
      </c>
      <c r="B21" t="inlineStr">
        <is>
          <t>D5</t>
        </is>
      </c>
      <c r="C21" t="n">
        <v>74</v>
      </c>
      <c r="D21" s="481">
        <f>440*2^((C21-69)/12)</f>
        <v/>
      </c>
      <c r="E21" s="469">
        <f>SQRT($B$6*$B$7/D21)</f>
        <v/>
      </c>
      <c r="F21" s="481">
        <f>E21*25.4</f>
        <v/>
      </c>
      <c r="G21" s="469">
        <f>1+0.5*(108-C21)/(108-65)</f>
        <v/>
      </c>
      <c r="H21" s="469">
        <f>E21*0.224</f>
        <v/>
      </c>
      <c r="I21" s="469">
        <f>E21*0.776</f>
        <v/>
      </c>
      <c r="J21" s="469">
        <f>IF(13552/(4*D21)-0.82*$B$8&gt;0.5, 13552/(4*D21)-0.82*$B$8, "none")</f>
        <v/>
      </c>
      <c r="K21" s="481">
        <f>IF(J21="none","none",J21*25.4)</f>
        <v/>
      </c>
      <c r="O21" s="472" t="inlineStr">
        <is>
          <t>String Material</t>
        </is>
      </c>
      <c r="P21" t="inlineStr">
        <is>
          <t>Paracord through nodes</t>
        </is>
      </c>
      <c r="Q21" t="inlineStr">
        <is>
          <t>Paracord through nodes</t>
        </is>
      </c>
    </row>
    <row r="22">
      <c r="A22" t="n">
        <v>11</v>
      </c>
      <c r="B22" t="inlineStr">
        <is>
          <t>D#5</t>
        </is>
      </c>
      <c r="C22" t="n">
        <v>75</v>
      </c>
      <c r="D22" s="481">
        <f>440*2^((C22-69)/12)</f>
        <v/>
      </c>
      <c r="E22" s="469">
        <f>SQRT($B$6*$B$7/D22)</f>
        <v/>
      </c>
      <c r="F22" s="481">
        <f>E22*25.4</f>
        <v/>
      </c>
      <c r="G22" s="469">
        <f>1+0.5*(108-C22)/(108-65)</f>
        <v/>
      </c>
      <c r="H22" s="469">
        <f>E22*0.224</f>
        <v/>
      </c>
      <c r="I22" s="469">
        <f>E22*0.776</f>
        <v/>
      </c>
      <c r="J22" s="469">
        <f>IF(13552/(4*D22)-0.82*$B$8&gt;0.5, 13552/(4*D22)-0.82*$B$8, "none")</f>
        <v/>
      </c>
      <c r="K22" s="481">
        <f>IF(J22="none","none",J22*25.4)</f>
        <v/>
      </c>
      <c r="O22" s="472" t="inlineStr">
        <is>
          <t>Mallets</t>
        </is>
      </c>
      <c r="P22" t="inlineStr">
        <is>
          <t>Hard rubber / plastic</t>
        </is>
      </c>
      <c r="Q22" t="inlineStr">
        <is>
          <t>Hard rubber</t>
        </is>
      </c>
    </row>
    <row r="23">
      <c r="A23" t="n">
        <v>12</v>
      </c>
      <c r="B23" t="inlineStr">
        <is>
          <t>E5</t>
        </is>
      </c>
      <c r="C23" t="n">
        <v>76</v>
      </c>
      <c r="D23" s="481">
        <f>440*2^((C23-69)/12)</f>
        <v/>
      </c>
      <c r="E23" s="469">
        <f>SQRT($B$6*$B$7/D23)</f>
        <v/>
      </c>
      <c r="F23" s="481">
        <f>E23*25.4</f>
        <v/>
      </c>
      <c r="G23" s="469">
        <f>1+0.5*(108-C23)/(108-65)</f>
        <v/>
      </c>
      <c r="H23" s="469">
        <f>E23*0.224</f>
        <v/>
      </c>
      <c r="I23" s="469">
        <f>E23*0.776</f>
        <v/>
      </c>
      <c r="J23" s="469">
        <f>IF(13552/(4*D23)-0.82*$B$8&gt;0.5, 13552/(4*D23)-0.82*$B$8, "none")</f>
        <v/>
      </c>
      <c r="K23" s="481">
        <f>IF(J23="none","none",J23*25.4)</f>
        <v/>
      </c>
      <c r="O23" s="472" t="inlineStr">
        <is>
          <t>CNC Operations</t>
        </is>
      </c>
      <c r="P23" t="inlineStr">
        <is>
          <t>Bars only (no arch)</t>
        </is>
      </c>
      <c r="Q23" t="inlineStr">
        <is>
          <t>Bars only</t>
        </is>
      </c>
    </row>
    <row r="24">
      <c r="A24" t="n">
        <v>13</v>
      </c>
      <c r="B24" t="inlineStr">
        <is>
          <t>F5</t>
        </is>
      </c>
      <c r="C24" t="n">
        <v>77</v>
      </c>
      <c r="D24" s="481">
        <f>440*2^((C24-69)/12)</f>
        <v/>
      </c>
      <c r="E24" s="469">
        <f>SQRT($B$6*$B$7/D24)</f>
        <v/>
      </c>
      <c r="F24" s="481">
        <f>E24*25.4</f>
        <v/>
      </c>
      <c r="G24" s="469">
        <f>1+0.5*(108-C24)/(108-65)</f>
        <v/>
      </c>
      <c r="H24" s="469">
        <f>E24*0.224</f>
        <v/>
      </c>
      <c r="I24" s="469">
        <f>E24*0.776</f>
        <v/>
      </c>
      <c r="J24" s="469">
        <f>IF(13552/(4*D24)-0.82*$B$8&gt;0.5, 13552/(4*D24)-0.82*$B$8, "none")</f>
        <v/>
      </c>
      <c r="K24" s="481">
        <f>IF(J24="none","none",J24*25.4)</f>
        <v/>
      </c>
      <c r="O24" s="472" t="inlineStr">
        <is>
          <t>Total Weight (est.)</t>
        </is>
      </c>
      <c r="P24" t="inlineStr">
        <is>
          <t>~35 lbs</t>
        </is>
      </c>
      <c r="Q24" t="inlineStr">
        <is>
          <t>~20 lbs</t>
        </is>
      </c>
    </row>
    <row r="25">
      <c r="A25" t="n">
        <v>14</v>
      </c>
      <c r="B25" t="inlineStr">
        <is>
          <t>F#5</t>
        </is>
      </c>
      <c r="C25" t="n">
        <v>78</v>
      </c>
      <c r="D25" s="481">
        <f>440*2^((C25-69)/12)</f>
        <v/>
      </c>
      <c r="E25" s="469">
        <f>SQRT($B$6*$B$7/D25)</f>
        <v/>
      </c>
      <c r="F25" s="481">
        <f>E25*25.4</f>
        <v/>
      </c>
      <c r="G25" s="469">
        <f>1+0.5*(108-C25)/(108-65)</f>
        <v/>
      </c>
      <c r="H25" s="469">
        <f>E25*0.224</f>
        <v/>
      </c>
      <c r="I25" s="469">
        <f>E25*0.776</f>
        <v/>
      </c>
      <c r="J25" s="469">
        <f>IF(13552/(4*D25)-0.82*$B$8&gt;0.5, 13552/(4*D25)-0.82*$B$8, "none")</f>
        <v/>
      </c>
      <c r="K25" s="481">
        <f>IF(J25="none","none",J25*25.4)</f>
        <v/>
      </c>
    </row>
    <row r="26">
      <c r="A26" t="n">
        <v>15</v>
      </c>
      <c r="B26" t="inlineStr">
        <is>
          <t>G5</t>
        </is>
      </c>
      <c r="C26" t="n">
        <v>79</v>
      </c>
      <c r="D26" s="481">
        <f>440*2^((C26-69)/12)</f>
        <v/>
      </c>
      <c r="E26" s="469">
        <f>SQRT($B$6*$B$7/D26)</f>
        <v/>
      </c>
      <c r="F26" s="481">
        <f>E26*25.4</f>
        <v/>
      </c>
      <c r="G26" s="469">
        <f>1+0.5*(108-C26)/(108-65)</f>
        <v/>
      </c>
      <c r="H26" s="469">
        <f>E26*0.224</f>
        <v/>
      </c>
      <c r="I26" s="469">
        <f>E26*0.776</f>
        <v/>
      </c>
      <c r="J26" s="469">
        <f>IF(13552/(4*D26)-0.82*$B$8&gt;0.5, 13552/(4*D26)-0.82*$B$8, "none")</f>
        <v/>
      </c>
      <c r="K26" s="481">
        <f>IF(J26="none","none",J26*25.4)</f>
        <v/>
      </c>
    </row>
    <row r="27">
      <c r="A27" t="n">
        <v>16</v>
      </c>
      <c r="B27" t="inlineStr">
        <is>
          <t>G#5</t>
        </is>
      </c>
      <c r="C27" t="n">
        <v>80</v>
      </c>
      <c r="D27" s="481">
        <f>440*2^((C27-69)/12)</f>
        <v/>
      </c>
      <c r="E27" s="469">
        <f>SQRT($B$6*$B$7/D27)</f>
        <v/>
      </c>
      <c r="F27" s="481">
        <f>E27*25.4</f>
        <v/>
      </c>
      <c r="G27" s="469">
        <f>1+0.5*(108-C27)/(108-65)</f>
        <v/>
      </c>
      <c r="H27" s="469">
        <f>E27*0.224</f>
        <v/>
      </c>
      <c r="I27" s="469">
        <f>E27*0.776</f>
        <v/>
      </c>
      <c r="J27" s="469">
        <f>IF(13552/(4*D27)-0.82*$B$8&gt;0.5, 13552/(4*D27)-0.82*$B$8, "none")</f>
        <v/>
      </c>
      <c r="K27" s="481">
        <f>IF(J27="none","none",J27*25.4)</f>
        <v/>
      </c>
    </row>
    <row r="28">
      <c r="A28" t="n">
        <v>17</v>
      </c>
      <c r="B28" t="inlineStr">
        <is>
          <t>A5</t>
        </is>
      </c>
      <c r="C28" t="n">
        <v>81</v>
      </c>
      <c r="D28" s="481">
        <f>440*2^((C28-69)/12)</f>
        <v/>
      </c>
      <c r="E28" s="469">
        <f>SQRT($B$6*$B$7/D28)</f>
        <v/>
      </c>
      <c r="F28" s="481">
        <f>E28*25.4</f>
        <v/>
      </c>
      <c r="G28" s="469">
        <f>1+0.5*(108-C28)/(108-65)</f>
        <v/>
      </c>
      <c r="H28" s="469">
        <f>E28*0.224</f>
        <v/>
      </c>
      <c r="I28" s="469">
        <f>E28*0.776</f>
        <v/>
      </c>
      <c r="J28" s="469">
        <f>IF(13552/(4*D28)-0.82*$B$8&gt;0.5, 13552/(4*D28)-0.82*$B$8, "none")</f>
        <v/>
      </c>
      <c r="K28" s="481">
        <f>IF(J28="none","none",J28*25.4)</f>
        <v/>
      </c>
    </row>
    <row r="29">
      <c r="A29" t="n">
        <v>18</v>
      </c>
      <c r="B29" t="inlineStr">
        <is>
          <t>A#5</t>
        </is>
      </c>
      <c r="C29" t="n">
        <v>82</v>
      </c>
      <c r="D29" s="481">
        <f>440*2^((C29-69)/12)</f>
        <v/>
      </c>
      <c r="E29" s="469">
        <f>SQRT($B$6*$B$7/D29)</f>
        <v/>
      </c>
      <c r="F29" s="481">
        <f>E29*25.4</f>
        <v/>
      </c>
      <c r="G29" s="469">
        <f>1+0.5*(108-C29)/(108-65)</f>
        <v/>
      </c>
      <c r="H29" s="469">
        <f>E29*0.224</f>
        <v/>
      </c>
      <c r="I29" s="469">
        <f>E29*0.776</f>
        <v/>
      </c>
      <c r="J29" s="469">
        <f>IF(13552/(4*D29)-0.82*$B$8&gt;0.5, 13552/(4*D29)-0.82*$B$8, "none")</f>
        <v/>
      </c>
      <c r="K29" s="481">
        <f>IF(J29="none","none",J29*25.4)</f>
        <v/>
      </c>
    </row>
    <row r="30">
      <c r="A30" t="n">
        <v>19</v>
      </c>
      <c r="B30" t="inlineStr">
        <is>
          <t>B5</t>
        </is>
      </c>
      <c r="C30" t="n">
        <v>83</v>
      </c>
      <c r="D30" s="481">
        <f>440*2^((C30-69)/12)</f>
        <v/>
      </c>
      <c r="E30" s="469">
        <f>SQRT($B$6*$B$7/D30)</f>
        <v/>
      </c>
      <c r="F30" s="481">
        <f>E30*25.4</f>
        <v/>
      </c>
      <c r="G30" s="469">
        <f>1+0.5*(108-C30)/(108-65)</f>
        <v/>
      </c>
      <c r="H30" s="469">
        <f>E30*0.224</f>
        <v/>
      </c>
      <c r="I30" s="469">
        <f>E30*0.776</f>
        <v/>
      </c>
      <c r="J30" s="469">
        <f>IF(13552/(4*D30)-0.82*$B$8&gt;0.5, 13552/(4*D30)-0.82*$B$8, "none")</f>
        <v/>
      </c>
      <c r="K30" s="481">
        <f>IF(J30="none","none",J30*25.4)</f>
        <v/>
      </c>
    </row>
    <row r="31">
      <c r="A31" t="n">
        <v>20</v>
      </c>
      <c r="B31" s="472" t="inlineStr">
        <is>
          <t>C6</t>
        </is>
      </c>
      <c r="C31" t="n">
        <v>84</v>
      </c>
      <c r="D31" s="481">
        <f>440*2^((C31-69)/12)</f>
        <v/>
      </c>
      <c r="E31" s="469">
        <f>SQRT($B$6*$B$7/D31)</f>
        <v/>
      </c>
      <c r="F31" s="481">
        <f>E31*25.4</f>
        <v/>
      </c>
      <c r="G31" s="469">
        <f>1+0.5*(108-C31)/(108-65)</f>
        <v/>
      </c>
      <c r="H31" s="469">
        <f>E31*0.224</f>
        <v/>
      </c>
      <c r="I31" s="469">
        <f>E31*0.776</f>
        <v/>
      </c>
      <c r="J31" s="469">
        <f>IF(13552/(4*D31)-0.82*$B$8&gt;0.5, 13552/(4*D31)-0.82*$B$8, "none")</f>
        <v/>
      </c>
      <c r="K31" s="481">
        <f>IF(J31="none","none",J31*25.4)</f>
        <v/>
      </c>
    </row>
    <row r="32">
      <c r="A32" t="n">
        <v>21</v>
      </c>
      <c r="B32" t="inlineStr">
        <is>
          <t>C#6</t>
        </is>
      </c>
      <c r="C32" t="n">
        <v>85</v>
      </c>
      <c r="D32" s="481">
        <f>440*2^((C32-69)/12)</f>
        <v/>
      </c>
      <c r="E32" s="469">
        <f>SQRT($B$6*$B$7/D32)</f>
        <v/>
      </c>
      <c r="F32" s="481">
        <f>E32*25.4</f>
        <v/>
      </c>
      <c r="G32" s="469">
        <f>1+0.5*(108-C32)/(108-65)</f>
        <v/>
      </c>
      <c r="H32" s="469">
        <f>E32*0.224</f>
        <v/>
      </c>
      <c r="I32" s="469">
        <f>E32*0.776</f>
        <v/>
      </c>
      <c r="J32" s="469">
        <f>IF(13552/(4*D32)-0.82*$B$8&gt;0.5, 13552/(4*D32)-0.82*$B$8, "none")</f>
        <v/>
      </c>
      <c r="K32" s="481">
        <f>IF(J32="none","none",J32*25.4)</f>
        <v/>
      </c>
    </row>
    <row r="33">
      <c r="A33" t="n">
        <v>22</v>
      </c>
      <c r="B33" t="inlineStr">
        <is>
          <t>D6</t>
        </is>
      </c>
      <c r="C33" t="n">
        <v>86</v>
      </c>
      <c r="D33" s="481">
        <f>440*2^((C33-69)/12)</f>
        <v/>
      </c>
      <c r="E33" s="469">
        <f>SQRT($B$6*$B$7/D33)</f>
        <v/>
      </c>
      <c r="F33" s="481">
        <f>E33*25.4</f>
        <v/>
      </c>
      <c r="G33" s="469">
        <f>1+0.5*(108-C33)/(108-65)</f>
        <v/>
      </c>
      <c r="H33" s="469">
        <f>E33*0.224</f>
        <v/>
      </c>
      <c r="I33" s="469">
        <f>E33*0.776</f>
        <v/>
      </c>
      <c r="J33" s="469">
        <f>IF(13552/(4*D33)-0.82*$B$8&gt;0.5, 13552/(4*D33)-0.82*$B$8, "none")</f>
        <v/>
      </c>
      <c r="K33" s="481">
        <f>IF(J33="none","none",J33*25.4)</f>
        <v/>
      </c>
    </row>
    <row r="34">
      <c r="A34" t="n">
        <v>23</v>
      </c>
      <c r="B34" t="inlineStr">
        <is>
          <t>D#6</t>
        </is>
      </c>
      <c r="C34" t="n">
        <v>87</v>
      </c>
      <c r="D34" s="481">
        <f>440*2^((C34-69)/12)</f>
        <v/>
      </c>
      <c r="E34" s="469">
        <f>SQRT($B$6*$B$7/D34)</f>
        <v/>
      </c>
      <c r="F34" s="481">
        <f>E34*25.4</f>
        <v/>
      </c>
      <c r="G34" s="469">
        <f>1+0.5*(108-C34)/(108-65)</f>
        <v/>
      </c>
      <c r="H34" s="469">
        <f>E34*0.224</f>
        <v/>
      </c>
      <c r="I34" s="469">
        <f>E34*0.776</f>
        <v/>
      </c>
      <c r="J34" s="469">
        <f>IF(13552/(4*D34)-0.82*$B$8&gt;0.5, 13552/(4*D34)-0.82*$B$8, "none")</f>
        <v/>
      </c>
      <c r="K34" s="481">
        <f>IF(J34="none","none",J34*25.4)</f>
        <v/>
      </c>
    </row>
    <row r="35">
      <c r="A35" t="n">
        <v>24</v>
      </c>
      <c r="B35" t="inlineStr">
        <is>
          <t>E6</t>
        </is>
      </c>
      <c r="C35" t="n">
        <v>88</v>
      </c>
      <c r="D35" s="481">
        <f>440*2^((C35-69)/12)</f>
        <v/>
      </c>
      <c r="E35" s="469">
        <f>SQRT($B$6*$B$7/D35)</f>
        <v/>
      </c>
      <c r="F35" s="481">
        <f>E35*25.4</f>
        <v/>
      </c>
      <c r="G35" s="469">
        <f>1+0.5*(108-C35)/(108-65)</f>
        <v/>
      </c>
      <c r="H35" s="469">
        <f>E35*0.224</f>
        <v/>
      </c>
      <c r="I35" s="469">
        <f>E35*0.776</f>
        <v/>
      </c>
      <c r="J35" s="469">
        <f>IF(13552/(4*D35)-0.82*$B$8&gt;0.5, 13552/(4*D35)-0.82*$B$8, "none")</f>
        <v/>
      </c>
      <c r="K35" s="481">
        <f>IF(J35="none","none",J35*25.4)</f>
        <v/>
      </c>
    </row>
    <row r="36">
      <c r="A36" t="n">
        <v>25</v>
      </c>
      <c r="B36" t="inlineStr">
        <is>
          <t>F6</t>
        </is>
      </c>
      <c r="C36" t="n">
        <v>89</v>
      </c>
      <c r="D36" s="481">
        <f>440*2^((C36-69)/12)</f>
        <v/>
      </c>
      <c r="E36" s="469">
        <f>SQRT($B$6*$B$7/D36)</f>
        <v/>
      </c>
      <c r="F36" s="481">
        <f>E36*25.4</f>
        <v/>
      </c>
      <c r="G36" s="469">
        <f>1+0.5*(108-C36)/(108-65)</f>
        <v/>
      </c>
      <c r="H36" s="469">
        <f>E36*0.224</f>
        <v/>
      </c>
      <c r="I36" s="469">
        <f>E36*0.776</f>
        <v/>
      </c>
      <c r="J36" s="469">
        <f>IF(13552/(4*D36)-0.82*$B$8&gt;0.5, 13552/(4*D36)-0.82*$B$8, "none")</f>
        <v/>
      </c>
      <c r="K36" s="481">
        <f>IF(J36="none","none",J36*25.4)</f>
        <v/>
      </c>
    </row>
    <row r="37">
      <c r="A37" t="n">
        <v>26</v>
      </c>
      <c r="B37" t="inlineStr">
        <is>
          <t>F#6</t>
        </is>
      </c>
      <c r="C37" t="n">
        <v>90</v>
      </c>
      <c r="D37" s="481">
        <f>440*2^((C37-69)/12)</f>
        <v/>
      </c>
      <c r="E37" s="469">
        <f>SQRT($B$6*$B$7/D37)</f>
        <v/>
      </c>
      <c r="F37" s="481">
        <f>E37*25.4</f>
        <v/>
      </c>
      <c r="G37" s="469">
        <f>1+0.5*(108-C37)/(108-65)</f>
        <v/>
      </c>
      <c r="H37" s="469">
        <f>E37*0.224</f>
        <v/>
      </c>
      <c r="I37" s="469">
        <f>E37*0.776</f>
        <v/>
      </c>
      <c r="J37" s="469">
        <f>IF(13552/(4*D37)-0.82*$B$8&gt;0.5, 13552/(4*D37)-0.82*$B$8, "none")</f>
        <v/>
      </c>
      <c r="K37" s="481">
        <f>IF(J37="none","none",J37*25.4)</f>
        <v/>
      </c>
    </row>
    <row r="38">
      <c r="A38" t="n">
        <v>27</v>
      </c>
      <c r="B38" t="inlineStr">
        <is>
          <t>G6</t>
        </is>
      </c>
      <c r="C38" t="n">
        <v>91</v>
      </c>
      <c r="D38" s="481">
        <f>440*2^((C38-69)/12)</f>
        <v/>
      </c>
      <c r="E38" s="469">
        <f>SQRT($B$6*$B$7/D38)</f>
        <v/>
      </c>
      <c r="F38" s="481">
        <f>E38*25.4</f>
        <v/>
      </c>
      <c r="G38" s="469">
        <f>1+0.5*(108-C38)/(108-65)</f>
        <v/>
      </c>
      <c r="H38" s="469">
        <f>E38*0.224</f>
        <v/>
      </c>
      <c r="I38" s="469">
        <f>E38*0.776</f>
        <v/>
      </c>
      <c r="J38" s="469">
        <f>IF(13552/(4*D38)-0.82*$B$8&gt;0.5, 13552/(4*D38)-0.82*$B$8, "none")</f>
        <v/>
      </c>
      <c r="K38" s="481">
        <f>IF(J38="none","none",J38*25.4)</f>
        <v/>
      </c>
    </row>
    <row r="39">
      <c r="A39" t="n">
        <v>28</v>
      </c>
      <c r="B39" t="inlineStr">
        <is>
          <t>G#6</t>
        </is>
      </c>
      <c r="C39" t="n">
        <v>92</v>
      </c>
      <c r="D39" s="481">
        <f>440*2^((C39-69)/12)</f>
        <v/>
      </c>
      <c r="E39" s="469">
        <f>SQRT($B$6*$B$7/D39)</f>
        <v/>
      </c>
      <c r="F39" s="481">
        <f>E39*25.4</f>
        <v/>
      </c>
      <c r="G39" s="469">
        <f>1+0.5*(108-C39)/(108-65)</f>
        <v/>
      </c>
      <c r="H39" s="469">
        <f>E39*0.224</f>
        <v/>
      </c>
      <c r="I39" s="469">
        <f>E39*0.776</f>
        <v/>
      </c>
      <c r="J39" s="469">
        <f>IF(13552/(4*D39)-0.82*$B$8&gt;0.5, 13552/(4*D39)-0.82*$B$8, "none")</f>
        <v/>
      </c>
      <c r="K39" s="481">
        <f>IF(J39="none","none",J39*25.4)</f>
        <v/>
      </c>
    </row>
    <row r="40">
      <c r="A40" t="n">
        <v>29</v>
      </c>
      <c r="B40" t="inlineStr">
        <is>
          <t>A6</t>
        </is>
      </c>
      <c r="C40" t="n">
        <v>93</v>
      </c>
      <c r="D40" s="481">
        <f>440*2^((C40-69)/12)</f>
        <v/>
      </c>
      <c r="E40" s="469">
        <f>SQRT($B$6*$B$7/D40)</f>
        <v/>
      </c>
      <c r="F40" s="481">
        <f>E40*25.4</f>
        <v/>
      </c>
      <c r="G40" s="469">
        <f>1+0.5*(108-C40)/(108-65)</f>
        <v/>
      </c>
      <c r="H40" s="469">
        <f>E40*0.224</f>
        <v/>
      </c>
      <c r="I40" s="469">
        <f>E40*0.776</f>
        <v/>
      </c>
      <c r="J40" s="469">
        <f>IF(13552/(4*D40)-0.82*$B$8&gt;0.5, 13552/(4*D40)-0.82*$B$8, "none")</f>
        <v/>
      </c>
      <c r="K40" s="481">
        <f>IF(J40="none","none",J40*25.4)</f>
        <v/>
      </c>
    </row>
    <row r="41">
      <c r="A41" t="n">
        <v>30</v>
      </c>
      <c r="B41" t="inlineStr">
        <is>
          <t>A#6</t>
        </is>
      </c>
      <c r="C41" t="n">
        <v>94</v>
      </c>
      <c r="D41" s="481">
        <f>440*2^((C41-69)/12)</f>
        <v/>
      </c>
      <c r="E41" s="469">
        <f>SQRT($B$6*$B$7/D41)</f>
        <v/>
      </c>
      <c r="F41" s="481">
        <f>E41*25.4</f>
        <v/>
      </c>
      <c r="G41" s="469">
        <f>1+0.5*(108-C41)/(108-65)</f>
        <v/>
      </c>
      <c r="H41" s="469">
        <f>E41*0.224</f>
        <v/>
      </c>
      <c r="I41" s="469">
        <f>E41*0.776</f>
        <v/>
      </c>
      <c r="J41" s="469">
        <f>IF(13552/(4*D41)-0.82*$B$8&gt;0.5, 13552/(4*D41)-0.82*$B$8, "none")</f>
        <v/>
      </c>
      <c r="K41" s="481">
        <f>IF(J41="none","none",J41*25.4)</f>
        <v/>
      </c>
    </row>
    <row r="42">
      <c r="A42" t="n">
        <v>31</v>
      </c>
      <c r="B42" t="inlineStr">
        <is>
          <t>B6</t>
        </is>
      </c>
      <c r="C42" t="n">
        <v>95</v>
      </c>
      <c r="D42" s="481">
        <f>440*2^((C42-69)/12)</f>
        <v/>
      </c>
      <c r="E42" s="469">
        <f>SQRT($B$6*$B$7/D42)</f>
        <v/>
      </c>
      <c r="F42" s="481">
        <f>E42*25.4</f>
        <v/>
      </c>
      <c r="G42" s="469">
        <f>1+0.5*(108-C42)/(108-65)</f>
        <v/>
      </c>
      <c r="H42" s="469">
        <f>E42*0.224</f>
        <v/>
      </c>
      <c r="I42" s="469">
        <f>E42*0.776</f>
        <v/>
      </c>
      <c r="J42" s="469">
        <f>IF(13552/(4*D42)-0.82*$B$8&gt;0.5, 13552/(4*D42)-0.82*$B$8, "none")</f>
        <v/>
      </c>
      <c r="K42" s="481">
        <f>IF(J42="none","none",J42*25.4)</f>
        <v/>
      </c>
    </row>
    <row r="43">
      <c r="A43" t="n">
        <v>32</v>
      </c>
      <c r="B43" s="472" t="inlineStr">
        <is>
          <t>C7</t>
        </is>
      </c>
      <c r="C43" t="n">
        <v>96</v>
      </c>
      <c r="D43" s="481">
        <f>440*2^((C43-69)/12)</f>
        <v/>
      </c>
      <c r="E43" s="469">
        <f>SQRT($B$6*$B$7/D43)</f>
        <v/>
      </c>
      <c r="F43" s="481">
        <f>E43*25.4</f>
        <v/>
      </c>
      <c r="G43" s="469">
        <f>1+0.5*(108-C43)/(108-65)</f>
        <v/>
      </c>
      <c r="H43" s="469">
        <f>E43*0.224</f>
        <v/>
      </c>
      <c r="I43" s="469">
        <f>E43*0.776</f>
        <v/>
      </c>
      <c r="J43" s="469">
        <f>IF(13552/(4*D43)-0.82*$B$8&gt;0.5, 13552/(4*D43)-0.82*$B$8, "none")</f>
        <v/>
      </c>
      <c r="K43" s="481">
        <f>IF(J43="none","none",J43*25.4)</f>
        <v/>
      </c>
    </row>
    <row r="44">
      <c r="A44" t="n">
        <v>33</v>
      </c>
      <c r="B44" t="inlineStr">
        <is>
          <t>C#7</t>
        </is>
      </c>
      <c r="C44" t="n">
        <v>97</v>
      </c>
      <c r="D44" s="481">
        <f>440*2^((C44-69)/12)</f>
        <v/>
      </c>
      <c r="E44" s="469">
        <f>SQRT($B$6*$B$7/D44)</f>
        <v/>
      </c>
      <c r="F44" s="481">
        <f>E44*25.4</f>
        <v/>
      </c>
      <c r="G44" s="469">
        <f>1+0.5*(108-C44)/(108-65)</f>
        <v/>
      </c>
      <c r="H44" s="469">
        <f>E44*0.224</f>
        <v/>
      </c>
      <c r="I44" s="469">
        <f>E44*0.776</f>
        <v/>
      </c>
      <c r="J44" s="469">
        <f>IF(13552/(4*D44)-0.82*$B$8&gt;0.5, 13552/(4*D44)-0.82*$B$8, "none")</f>
        <v/>
      </c>
      <c r="K44" s="481">
        <f>IF(J44="none","none",J44*25.4)</f>
        <v/>
      </c>
    </row>
    <row r="45">
      <c r="A45" t="n">
        <v>34</v>
      </c>
      <c r="B45" t="inlineStr">
        <is>
          <t>D7</t>
        </is>
      </c>
      <c r="C45" t="n">
        <v>98</v>
      </c>
      <c r="D45" s="481">
        <f>440*2^((C45-69)/12)</f>
        <v/>
      </c>
      <c r="E45" s="469">
        <f>SQRT($B$6*$B$7/D45)</f>
        <v/>
      </c>
      <c r="F45" s="481">
        <f>E45*25.4</f>
        <v/>
      </c>
      <c r="G45" s="469">
        <f>1+0.5*(108-C45)/(108-65)</f>
        <v/>
      </c>
      <c r="H45" s="469">
        <f>E45*0.224</f>
        <v/>
      </c>
      <c r="I45" s="469">
        <f>E45*0.776</f>
        <v/>
      </c>
      <c r="J45" s="469">
        <f>IF(13552/(4*D45)-0.82*$B$8&gt;0.5, 13552/(4*D45)-0.82*$B$8, "none")</f>
        <v/>
      </c>
      <c r="K45" s="481">
        <f>IF(J45="none","none",J45*25.4)</f>
        <v/>
      </c>
    </row>
    <row r="46">
      <c r="A46" t="n">
        <v>35</v>
      </c>
      <c r="B46" t="inlineStr">
        <is>
          <t>D#7</t>
        </is>
      </c>
      <c r="C46" t="n">
        <v>99</v>
      </c>
      <c r="D46" s="481">
        <f>440*2^((C46-69)/12)</f>
        <v/>
      </c>
      <c r="E46" s="469">
        <f>SQRT($B$6*$B$7/D46)</f>
        <v/>
      </c>
      <c r="F46" s="481">
        <f>E46*25.4</f>
        <v/>
      </c>
      <c r="G46" s="469">
        <f>1+0.5*(108-C46)/(108-65)</f>
        <v/>
      </c>
      <c r="H46" s="469">
        <f>E46*0.224</f>
        <v/>
      </c>
      <c r="I46" s="469">
        <f>E46*0.776</f>
        <v/>
      </c>
      <c r="J46" s="469">
        <f>IF(13552/(4*D46)-0.82*$B$8&gt;0.5, 13552/(4*D46)-0.82*$B$8, "none")</f>
        <v/>
      </c>
      <c r="K46" s="481">
        <f>IF(J46="none","none",J46*25.4)</f>
        <v/>
      </c>
    </row>
    <row r="47">
      <c r="A47" t="n">
        <v>36</v>
      </c>
      <c r="B47" t="inlineStr">
        <is>
          <t>E7</t>
        </is>
      </c>
      <c r="C47" t="n">
        <v>100</v>
      </c>
      <c r="D47" s="481">
        <f>440*2^((C47-69)/12)</f>
        <v/>
      </c>
      <c r="E47" s="469">
        <f>SQRT($B$6*$B$7/D47)</f>
        <v/>
      </c>
      <c r="F47" s="481">
        <f>E47*25.4</f>
        <v/>
      </c>
      <c r="G47" s="469">
        <f>1+0.5*(108-C47)/(108-65)</f>
        <v/>
      </c>
      <c r="H47" s="469">
        <f>E47*0.224</f>
        <v/>
      </c>
      <c r="I47" s="469">
        <f>E47*0.776</f>
        <v/>
      </c>
      <c r="J47" s="469">
        <f>IF(13552/(4*D47)-0.82*$B$8&gt;0.5, 13552/(4*D47)-0.82*$B$8, "none")</f>
        <v/>
      </c>
      <c r="K47" s="481">
        <f>IF(J47="none","none",J47*25.4)</f>
        <v/>
      </c>
    </row>
    <row r="48">
      <c r="A48" t="n">
        <v>37</v>
      </c>
      <c r="B48" t="inlineStr">
        <is>
          <t>F7</t>
        </is>
      </c>
      <c r="C48" t="n">
        <v>101</v>
      </c>
      <c r="D48" s="481">
        <f>440*2^((C48-69)/12)</f>
        <v/>
      </c>
      <c r="E48" s="469">
        <f>SQRT($B$6*$B$7/D48)</f>
        <v/>
      </c>
      <c r="F48" s="481">
        <f>E48*25.4</f>
        <v/>
      </c>
      <c r="G48" s="469">
        <f>1+0.5*(108-C48)/(108-65)</f>
        <v/>
      </c>
      <c r="H48" s="469">
        <f>E48*0.224</f>
        <v/>
      </c>
      <c r="I48" s="469">
        <f>E48*0.776</f>
        <v/>
      </c>
      <c r="J48" s="469">
        <f>IF(13552/(4*D48)-0.82*$B$8&gt;0.5, 13552/(4*D48)-0.82*$B$8, "none")</f>
        <v/>
      </c>
      <c r="K48" s="481">
        <f>IF(J48="none","none",J48*25.4)</f>
        <v/>
      </c>
    </row>
    <row r="49">
      <c r="A49" t="n">
        <v>38</v>
      </c>
      <c r="B49" t="inlineStr">
        <is>
          <t>F#7</t>
        </is>
      </c>
      <c r="C49" t="n">
        <v>102</v>
      </c>
      <c r="D49" s="481">
        <f>440*2^((C49-69)/12)</f>
        <v/>
      </c>
      <c r="E49" s="469">
        <f>SQRT($B$6*$B$7/D49)</f>
        <v/>
      </c>
      <c r="F49" s="481">
        <f>E49*25.4</f>
        <v/>
      </c>
      <c r="G49" s="469">
        <f>1+0.5*(108-C49)/(108-65)</f>
        <v/>
      </c>
      <c r="H49" s="469">
        <f>E49*0.224</f>
        <v/>
      </c>
      <c r="I49" s="469">
        <f>E49*0.776</f>
        <v/>
      </c>
      <c r="J49" s="469">
        <f>IF(13552/(4*D49)-0.82*$B$8&gt;0.5, 13552/(4*D49)-0.82*$B$8, "none")</f>
        <v/>
      </c>
      <c r="K49" s="481">
        <f>IF(J49="none","none",J49*25.4)</f>
        <v/>
      </c>
    </row>
    <row r="50">
      <c r="A50" t="n">
        <v>39</v>
      </c>
      <c r="B50" t="inlineStr">
        <is>
          <t>G7</t>
        </is>
      </c>
      <c r="C50" t="n">
        <v>103</v>
      </c>
      <c r="D50" s="481">
        <f>440*2^((C50-69)/12)</f>
        <v/>
      </c>
      <c r="E50" s="469">
        <f>SQRT($B$6*$B$7/D50)</f>
        <v/>
      </c>
      <c r="F50" s="481">
        <f>E50*25.4</f>
        <v/>
      </c>
      <c r="G50" s="469">
        <f>1+0.5*(108-C50)/(108-65)</f>
        <v/>
      </c>
      <c r="H50" s="469">
        <f>E50*0.224</f>
        <v/>
      </c>
      <c r="I50" s="469">
        <f>E50*0.776</f>
        <v/>
      </c>
      <c r="J50" s="469">
        <f>IF(13552/(4*D50)-0.82*$B$8&gt;0.5, 13552/(4*D50)-0.82*$B$8, "none")</f>
        <v/>
      </c>
      <c r="K50" s="481">
        <f>IF(J50="none","none",J50*25.4)</f>
        <v/>
      </c>
    </row>
    <row r="51">
      <c r="A51" t="n">
        <v>40</v>
      </c>
      <c r="B51" t="inlineStr">
        <is>
          <t>G#7</t>
        </is>
      </c>
      <c r="C51" t="n">
        <v>104</v>
      </c>
      <c r="D51" s="481">
        <f>440*2^((C51-69)/12)</f>
        <v/>
      </c>
      <c r="E51" s="469">
        <f>SQRT($B$6*$B$7/D51)</f>
        <v/>
      </c>
      <c r="F51" s="481">
        <f>E51*25.4</f>
        <v/>
      </c>
      <c r="G51" s="469">
        <f>1+0.5*(108-C51)/(108-65)</f>
        <v/>
      </c>
      <c r="H51" s="469">
        <f>E51*0.224</f>
        <v/>
      </c>
      <c r="I51" s="469">
        <f>E51*0.776</f>
        <v/>
      </c>
      <c r="J51" s="469">
        <f>IF(13552/(4*D51)-0.82*$B$8&gt;0.5, 13552/(4*D51)-0.82*$B$8, "none")</f>
        <v/>
      </c>
      <c r="K51" s="481">
        <f>IF(J51="none","none",J51*25.4)</f>
        <v/>
      </c>
    </row>
    <row r="52">
      <c r="A52" t="n">
        <v>41</v>
      </c>
      <c r="B52" t="inlineStr">
        <is>
          <t>A7</t>
        </is>
      </c>
      <c r="C52" t="n">
        <v>105</v>
      </c>
      <c r="D52" s="481">
        <f>440*2^((C52-69)/12)</f>
        <v/>
      </c>
      <c r="E52" s="469">
        <f>SQRT($B$6*$B$7/D52)</f>
        <v/>
      </c>
      <c r="F52" s="481">
        <f>E52*25.4</f>
        <v/>
      </c>
      <c r="G52" s="469">
        <f>1+0.5*(108-C52)/(108-65)</f>
        <v/>
      </c>
      <c r="H52" s="469">
        <f>E52*0.224</f>
        <v/>
      </c>
      <c r="I52" s="469">
        <f>E52*0.776</f>
        <v/>
      </c>
      <c r="J52" s="469">
        <f>IF(13552/(4*D52)-0.82*$B$8&gt;0.5, 13552/(4*D52)-0.82*$B$8, "none")</f>
        <v/>
      </c>
      <c r="K52" s="481">
        <f>IF(J52="none","none",J52*25.4)</f>
        <v/>
      </c>
    </row>
    <row r="53">
      <c r="A53" t="n">
        <v>42</v>
      </c>
      <c r="B53" t="inlineStr">
        <is>
          <t>A#7</t>
        </is>
      </c>
      <c r="C53" t="n">
        <v>106</v>
      </c>
      <c r="D53" s="481">
        <f>440*2^((C53-69)/12)</f>
        <v/>
      </c>
      <c r="E53" s="469">
        <f>SQRT($B$6*$B$7/D53)</f>
        <v/>
      </c>
      <c r="F53" s="481">
        <f>E53*25.4</f>
        <v/>
      </c>
      <c r="G53" s="469">
        <f>1+0.5*(108-C53)/(108-65)</f>
        <v/>
      </c>
      <c r="H53" s="469">
        <f>E53*0.224</f>
        <v/>
      </c>
      <c r="I53" s="469">
        <f>E53*0.776</f>
        <v/>
      </c>
      <c r="J53" s="469">
        <f>IF(13552/(4*D53)-0.82*$B$8&gt;0.5, 13552/(4*D53)-0.82*$B$8, "none")</f>
        <v/>
      </c>
      <c r="K53" s="481">
        <f>IF(J53="none","none",J53*25.4)</f>
        <v/>
      </c>
    </row>
    <row r="54">
      <c r="A54" t="n">
        <v>43</v>
      </c>
      <c r="B54" t="inlineStr">
        <is>
          <t>B7</t>
        </is>
      </c>
      <c r="C54" t="n">
        <v>107</v>
      </c>
      <c r="D54" s="481">
        <f>440*2^((C54-69)/12)</f>
        <v/>
      </c>
      <c r="E54" s="469">
        <f>SQRT($B$6*$B$7/D54)</f>
        <v/>
      </c>
      <c r="F54" s="481">
        <f>E54*25.4</f>
        <v/>
      </c>
      <c r="G54" s="469">
        <f>1+0.5*(108-C54)/(108-65)</f>
        <v/>
      </c>
      <c r="H54" s="469">
        <f>E54*0.224</f>
        <v/>
      </c>
      <c r="I54" s="469">
        <f>E54*0.776</f>
        <v/>
      </c>
      <c r="J54" s="469">
        <f>IF(13552/(4*D54)-0.82*$B$8&gt;0.5, 13552/(4*D54)-0.82*$B$8, "none")</f>
        <v/>
      </c>
      <c r="K54" s="481">
        <f>IF(J54="none","none",J54*25.4)</f>
        <v/>
      </c>
    </row>
    <row r="55">
      <c r="A55" t="n">
        <v>44</v>
      </c>
      <c r="B55" s="472" t="inlineStr">
        <is>
          <t>C8</t>
        </is>
      </c>
      <c r="C55" t="n">
        <v>108</v>
      </c>
      <c r="D55" s="481">
        <f>440*2^((C55-69)/12)</f>
        <v/>
      </c>
      <c r="E55" s="469">
        <f>SQRT($B$6*$B$7/D55)</f>
        <v/>
      </c>
      <c r="F55" s="481">
        <f>E55*25.4</f>
        <v/>
      </c>
      <c r="G55" s="469">
        <f>1+0.5*(108-C55)/(108-65)</f>
        <v/>
      </c>
      <c r="H55" s="469">
        <f>E55*0.224</f>
        <v/>
      </c>
      <c r="I55" s="469">
        <f>E55*0.776</f>
        <v/>
      </c>
      <c r="J55" s="469">
        <f>IF(13552/(4*D55)-0.82*$B$8&gt;0.5, 13552/(4*D55)-0.82*$B$8, "none")</f>
        <v/>
      </c>
      <c r="K55" s="481">
        <f>IF(J55="none","none",J55*25.4)</f>
        <v/>
      </c>
    </row>
    <row r="58" ht="18" customHeight="1" s="817">
      <c r="A58" s="807" t="inlineStr">
        <is>
          <t>WOLFRAM EXPLORATIONS — XYLOPHONE</t>
        </is>
      </c>
    </row>
    <row r="59">
      <c r="A59" s="734" t="inlineStr">
        <is>
          <t>Roadmap-inspired notebook ideas mapped to this instrument.</t>
        </is>
      </c>
    </row>
    <row r="61">
      <c r="A61" s="808" t="inlineStr">
        <is>
          <t>Sound synthesis</t>
        </is>
      </c>
    </row>
    <row r="62">
      <c r="A62" s="811" t="inlineStr">
        <is>
          <t>→ The Complete Tongue Drum / Xylophone Spectrum (roadmap: Publication)</t>
        </is>
      </c>
    </row>
    <row r="63">
      <c r="A63" s="759" t="inlineStr">
        <is>
          <t>AudioGenerator: synthesize bars C5–C8 with hard-mallet attack + free-free overtone series (1, 2.76, 5.40, 8.93). Compare wood vs metal vs plastic: rosewood, padauk, aluminum, fiberglass — same length, hear K_material in real time.</t>
        </is>
      </c>
    </row>
    <row r="64">
      <c r="A64" t="inlineStr">
        <is>
          <t>ListLinePlot energy decay envelopes for each material — bright + short (steel) vs warm + long (rosewood).</t>
        </is>
      </c>
    </row>
    <row r="66">
      <c r="A66" s="808" t="inlineStr">
        <is>
          <t>Computational physics</t>
        </is>
      </c>
    </row>
    <row r="67">
      <c r="A67" s="811" t="inlineStr">
        <is>
          <t>→ Cantilever / Free-Free Mode Shapes (roadmap: NDSolve)</t>
        </is>
      </c>
    </row>
    <row r="68">
      <c r="A68" t="inlineStr">
        <is>
          <t>NDEigensystem on Euler-Bernoulli beam with free-free BCs; animate first 5 modes. Show why xylophone overtones are inharmonic (2.76·f1, 5.40·f1, 8.93·f1) and contrast with marimba's 4·f1 arch tuning.</t>
        </is>
      </c>
    </row>
    <row r="69">
      <c r="A69" t="inlineStr">
        <is>
          <t>Wood-grain rotation effect: rotate the bar's E_parallel direction by θ = 0–90° → plot f vs θ. Quantify how much detuning a misaligned grain blank introduces.</t>
        </is>
      </c>
    </row>
    <row r="70">
      <c r="A70" t="inlineStr">
        <is>
          <t>Wolfram functions: NDEigensystem free-free beam; Periodogram for 3:1 partial verification; FindPeaks for inharmonicity quantification.</t>
        </is>
      </c>
    </row>
    <row r="71">
      <c r="A71" s="808" t="inlineStr">
        <is>
          <t>Engineering &amp; tolerance</t>
        </is>
      </c>
    </row>
    <row r="72">
      <c r="A72" s="812" t="inlineStr">
        <is>
          <t>→ Tolerance Stack-Up + Sensitivity Ranking (roadmap: Engineering)</t>
        </is>
      </c>
    </row>
    <row r="73">
      <c r="A73" t="inlineStr">
        <is>
          <t>Monte Carlo: NormalDistribution[L,σ_L] + NormalDistribution[t,σ_t] → frequency error histogram. Find which dim (L vs t vs ρ) drives most variance — ∂f/∂L vs ∂f/∂t ranking.</t>
        </is>
      </c>
    </row>
    <row r="74">
      <c r="A74" t="inlineStr">
        <is>
          <t>Material Pareto: NMinimize over {min mass, max Q, hit ±5 cents}; compare rosewood vs padauk vs synthetic phenolic.</t>
        </is>
      </c>
    </row>
    <row r="75">
      <c r="A75" t="inlineStr">
        <is>
          <t>Node positions: 22.4% and 77.6% from each end — drill cord holes here.</t>
        </is>
      </c>
    </row>
    <row r="76">
      <c r="A76" s="808" t="inlineStr">
        <is>
          <t>Manufacturing</t>
        </is>
      </c>
    </row>
    <row r="77">
      <c r="A77" s="812" t="inlineStr">
        <is>
          <t>→ G-Code Toolpath Animator + Stave Yield Optimizer (roadmap: Manufacturing)</t>
        </is>
      </c>
    </row>
    <row r="78">
      <c r="A78" t="inlineStr">
        <is>
          <t>Parse the bar-cutting .nc file; animate bit motion in 3D; flag rapid-into-stock errors before the cut.</t>
        </is>
      </c>
    </row>
    <row r="79">
      <c r="A79" t="inlineStr">
        <is>
          <t>2D nesting on 4x8 hardwood blank: arrange 44 bars (lengths 6"–16") to minimize offcut. RegionNearest + simulated annealing.</t>
        </is>
      </c>
    </row>
    <row r="81">
      <c r="A81" s="609" t="inlineStr">
        <is>
          <t>§5 — Executable Cells</t>
        </is>
      </c>
    </row>
    <row r="82">
      <c r="A82" t="inlineStr">
        <is>
          <t>kXylo[E_,ρ_]:=(4.730^2/(2 π)) Sqrt[E/(12 ρ)] / 0.0254</t>
        </is>
      </c>
    </row>
    <row r="83">
      <c r="A83" t="inlineStr">
        <is>
          <t>fBar[t_,L_,K_]:=K t/L^2</t>
        </is>
      </c>
    </row>
    <row r="84">
      <c r="A84" t="inlineStr">
        <is>
          <t>lBar[f_,t_,K_]:=Sqrt[K t/f]</t>
        </is>
      </c>
    </row>
    <row r="85">
      <c r="A85" t="inlineStr">
        <is>
          <t>f2Ratio := f2 / f1  (* target ~3 for xylophone, ~4 for marimba *)</t>
        </is>
      </c>
    </row>
    <row r="87">
      <c r="A87" s="609" t="inlineStr">
        <is>
          <t>§6 — Wolfram Functions</t>
        </is>
      </c>
    </row>
    <row r="88">
      <c r="A88" t="inlineStr">
        <is>
          <t>NDEigensystem, Manipulate, Animate, Periodogram, FindPeaks, SemanticImport, CloudDeploy, FormFunction.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2026-05-02T18:57:58Z</dcterms:modified>
  <cp:lastModifiedBy>Tony Koop</cp:lastModifiedBy>
</cp:coreProperties>
</file>